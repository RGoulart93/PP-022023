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2B6C3B60-28B2-4A55-86BC-7C643879629C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Analise" sheetId="5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5" i="5" l="1"/>
  <c r="Z17" i="5"/>
  <c r="Z16" i="5"/>
  <c r="K15" i="5"/>
  <c r="X27" i="5"/>
  <c r="W27" i="5"/>
  <c r="V27" i="5"/>
  <c r="U27" i="5"/>
  <c r="T27" i="5"/>
  <c r="X26" i="5"/>
  <c r="W26" i="5"/>
  <c r="V26" i="5"/>
  <c r="U26" i="5"/>
  <c r="T26" i="5"/>
  <c r="X25" i="5"/>
  <c r="W25" i="5"/>
  <c r="V25" i="5"/>
  <c r="U25" i="5"/>
  <c r="T25" i="5"/>
  <c r="X24" i="5"/>
  <c r="W24" i="5"/>
  <c r="V24" i="5"/>
  <c r="U24" i="5"/>
  <c r="T24" i="5"/>
  <c r="X23" i="5"/>
  <c r="W23" i="5"/>
  <c r="V23" i="5"/>
  <c r="U23" i="5"/>
  <c r="T23" i="5"/>
  <c r="Z14" i="5"/>
  <c r="Z13" i="5"/>
  <c r="Z12" i="5"/>
  <c r="Z11" i="5"/>
  <c r="Z10" i="5"/>
  <c r="Z9" i="5"/>
  <c r="Z8" i="5"/>
  <c r="I27" i="5"/>
  <c r="H27" i="5"/>
  <c r="G27" i="5"/>
  <c r="F27" i="5"/>
  <c r="E27" i="5"/>
  <c r="I26" i="5"/>
  <c r="H26" i="5"/>
  <c r="G26" i="5"/>
  <c r="F26" i="5"/>
  <c r="E26" i="5"/>
  <c r="I25" i="5"/>
  <c r="H25" i="5"/>
  <c r="G25" i="5"/>
  <c r="F25" i="5"/>
  <c r="E25" i="5"/>
  <c r="I24" i="5"/>
  <c r="H24" i="5"/>
  <c r="G24" i="5"/>
  <c r="F24" i="5"/>
  <c r="E24" i="5"/>
  <c r="I23" i="5"/>
  <c r="H23" i="5"/>
  <c r="G23" i="5"/>
  <c r="F23" i="5"/>
  <c r="E23" i="5"/>
  <c r="K17" i="5"/>
  <c r="K16" i="5"/>
  <c r="K14" i="5"/>
  <c r="K13" i="5"/>
  <c r="K12" i="5"/>
  <c r="K11" i="5"/>
  <c r="K10" i="5"/>
  <c r="K9" i="5"/>
  <c r="K8" i="5"/>
</calcChain>
</file>

<file path=xl/sharedStrings.xml><?xml version="1.0" encoding="utf-8"?>
<sst xmlns="http://schemas.openxmlformats.org/spreadsheetml/2006/main" count="219" uniqueCount="102">
  <si>
    <t>Análise de Riscos do Projeto</t>
  </si>
  <si>
    <t>Elaborador:</t>
  </si>
  <si>
    <t xml:space="preserve">Projeto: </t>
  </si>
  <si>
    <t>tipo</t>
  </si>
  <si>
    <t>Item</t>
  </si>
  <si>
    <t>RISCO /
OPORT.</t>
  </si>
  <si>
    <t>ATIV</t>
  </si>
  <si>
    <t>Prob</t>
  </si>
  <si>
    <t>Imp</t>
  </si>
  <si>
    <t>Grau Impacto</t>
  </si>
  <si>
    <t>Estratégia</t>
  </si>
  <si>
    <t>Plano</t>
  </si>
  <si>
    <t>R</t>
  </si>
  <si>
    <t>Evitar</t>
  </si>
  <si>
    <t>Acidente com cortes na remoção</t>
  </si>
  <si>
    <t>Mitigar</t>
  </si>
  <si>
    <t>Aceitar</t>
  </si>
  <si>
    <t>Op</t>
  </si>
  <si>
    <t>Redução de Custos</t>
  </si>
  <si>
    <t>Explorar</t>
  </si>
  <si>
    <t>Redução de Prazo</t>
  </si>
  <si>
    <t>Melhorar</t>
  </si>
  <si>
    <t>Compartilhar</t>
  </si>
  <si>
    <t>Estratégias</t>
  </si>
  <si>
    <t>Transferir</t>
  </si>
  <si>
    <t>Probabilidade</t>
  </si>
  <si>
    <t>Muito Alta</t>
  </si>
  <si>
    <t>Alta</t>
  </si>
  <si>
    <t>Média</t>
  </si>
  <si>
    <t>Baixa</t>
  </si>
  <si>
    <t>Muito Baixa</t>
  </si>
  <si>
    <t>1</t>
  </si>
  <si>
    <t>2</t>
  </si>
  <si>
    <t>3</t>
  </si>
  <si>
    <t>4</t>
  </si>
  <si>
    <t>5</t>
  </si>
  <si>
    <t>Muito Baixo</t>
  </si>
  <si>
    <t>Baixo</t>
  </si>
  <si>
    <t>Médio</t>
  </si>
  <si>
    <t>Alto</t>
  </si>
  <si>
    <t>Muito Alto</t>
  </si>
  <si>
    <t>Grau de Impacto</t>
  </si>
  <si>
    <t>Riscos</t>
  </si>
  <si>
    <t>Oportunidades</t>
  </si>
  <si>
    <t>Estratégias de respostas aos Riscos</t>
  </si>
  <si>
    <t>Aceitar Riscos</t>
  </si>
  <si>
    <t>Evitar/Prevenir Riscos</t>
  </si>
  <si>
    <t>Transferir Riscos</t>
  </si>
  <si>
    <t>– Aceitar ativamente: contingência de tempo, recursos ou dinheiro.</t>
  </si>
  <si>
    <t>– Alteração do plano de projeto</t>
  </si>
  <si>
    <t>– Passar o risco a terceiros</t>
  </si>
  <si>
    <t>– Aceitar passivamente: aceita-se as consequências, sem fazer nada.</t>
  </si>
  <si>
    <t>– Alterar o objetivo que está em perigo</t>
  </si>
  <si>
    <t>– Não elimina o risco!</t>
  </si>
  <si>
    <t>– Nem sempre é possível eliminar todas as ameaças</t>
  </si>
  <si>
    <t>– Pode implicar em prolongamento do cronograma</t>
  </si>
  <si>
    <t>– Quase sempre significa aumento de custo</t>
  </si>
  <si>
    <t>Mitigar Riscos</t>
  </si>
  <si>
    <t>– Pode implicar em redução do Escopo</t>
  </si>
  <si>
    <t>– Pode ser interpretada como uma mitigação</t>
  </si>
  <si>
    <t>– Redução do Impacto</t>
  </si>
  <si>
    <t>– Rever as tolerâncias organizacionais</t>
  </si>
  <si>
    <t>– Seguro</t>
  </si>
  <si>
    <t>– Redução da Probabilidade</t>
  </si>
  <si>
    <t xml:space="preserve">– Eliminação mais radical que pode existir: </t>
  </si>
  <si>
    <t>– Ações antecipadas são mais eficazes que esperar o risco ocorrer</t>
  </si>
  <si>
    <t>acabar com o projeto!</t>
  </si>
  <si>
    <t>Estratégias  Respostas para Riscos Positivos (Oportunidades)</t>
  </si>
  <si>
    <t>Explorar (provocar)</t>
  </si>
  <si>
    <t>Aproveitar a oportunidade, mas sem persegui-la.</t>
  </si>
  <si>
    <t>Eliminar a incerteza. Ex: trocar um recurso.</t>
  </si>
  <si>
    <t>Aumentar a probabilidade. Ex: inclusão de mais recursos.</t>
  </si>
  <si>
    <t>Passar a um terceiro que tenha melhor capacidade de explorar a oportunidade. Ex: joint venture</t>
  </si>
  <si>
    <t>Plano de Resposta</t>
  </si>
  <si>
    <t>Registro elaborado de forma detalhada, incorporando as</t>
  </si>
  <si>
    <t>seguintes informações:</t>
  </si>
  <si>
    <t>– Descrição completa do risco</t>
  </si>
  <si>
    <t>– Categoria</t>
  </si>
  <si>
    <t>– Data de identificação</t>
  </si>
  <si>
    <t>– Probabilidade e Impacto</t>
  </si>
  <si>
    <t>– Valor Esperado</t>
  </si>
  <si>
    <t>– Estratégia de resposta selecionada</t>
  </si>
  <si>
    <t>– Respectiva ação e custos</t>
  </si>
  <si>
    <t>– Responsável</t>
  </si>
  <si>
    <t>– Data planejada da reação</t>
  </si>
  <si>
    <t>– Novo valor esperado</t>
  </si>
  <si>
    <t>Acidente com cortes na produção</t>
  </si>
  <si>
    <t>material com defeito na retirada</t>
  </si>
  <si>
    <t>material chegar errado (tipo da madeira)</t>
  </si>
  <si>
    <t>Quebra do equipamento</t>
  </si>
  <si>
    <t xml:space="preserve">Falta de material </t>
  </si>
  <si>
    <t>Quebra da matéria-prima</t>
  </si>
  <si>
    <t>Diversificação do Produto</t>
  </si>
  <si>
    <t>Grade na máquina</t>
  </si>
  <si>
    <t>Procurar novos fornecedores</t>
  </si>
  <si>
    <t>Equipe de manutenção</t>
  </si>
  <si>
    <t>Personalização do produto</t>
  </si>
  <si>
    <t>Ajuste no tempo de processo</t>
  </si>
  <si>
    <t xml:space="preserve"> Débora Valente, Ronilson Goulart e Nathália Fonseca</t>
  </si>
  <si>
    <t>BIO HOUSE</t>
  </si>
  <si>
    <t>ANTES DO PLANO DE AÇÃO</t>
  </si>
  <si>
    <t>DEPOIS DO PLANO DE 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</si>
</sst>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name val="Arial"/>
    </font>
    <font>
      <b/>
      <sz val="10"/>
      <name val="Comic Sans MS"/>
      <family val="4"/>
    </font>
    <font>
      <sz val="10"/>
      <name val="Comic Sans MS"/>
      <family val="4"/>
    </font>
    <font>
      <b/>
      <sz val="12"/>
      <name val="Comic Sans MS"/>
      <family val="4"/>
    </font>
    <font>
      <sz val="12"/>
      <name val="Comic Sans MS"/>
      <family val="4"/>
    </font>
    <font>
      <b/>
      <sz val="14"/>
      <name val="Verdana"/>
      <family val="2"/>
    </font>
    <font>
      <b/>
      <sz val="14"/>
      <name val="Comic Sans MS"/>
      <family val="4"/>
    </font>
    <font>
      <sz val="10"/>
      <name val="Arial"/>
      <family val="2"/>
    </font>
    <font>
      <b/>
      <sz val="14"/>
      <color theme="0"/>
      <name val="Comic Sans MS"/>
      <family val="4"/>
    </font>
    <font>
      <b/>
      <sz val="10"/>
      <color theme="0"/>
      <name val="Comic Sans MS"/>
      <family val="4"/>
    </font>
  </fonts>
  <fills count="1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 wrapText="1"/>
    </xf>
    <xf numFmtId="49" fontId="9" fillId="8" borderId="1" xfId="0" applyNumberFormat="1" applyFont="1" applyFill="1" applyBorder="1" applyAlignment="1">
      <alignment horizontal="center" wrapText="1"/>
    </xf>
    <xf numFmtId="49" fontId="1" fillId="7" borderId="1" xfId="0" applyNumberFormat="1" applyFont="1" applyFill="1" applyBorder="1" applyAlignment="1">
      <alignment horizontal="center"/>
    </xf>
    <xf numFmtId="49" fontId="9" fillId="8" borderId="1" xfId="0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11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 wrapText="1"/>
    </xf>
    <xf numFmtId="1" fontId="1" fillId="6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center" wrapText="1"/>
    </xf>
    <xf numFmtId="49" fontId="1" fillId="7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" fontId="6" fillId="5" borderId="11" xfId="0" applyNumberFormat="1" applyFont="1" applyFill="1" applyBorder="1" applyAlignment="1">
      <alignment horizontal="center"/>
    </xf>
    <xf numFmtId="1" fontId="6" fillId="5" borderId="12" xfId="0" applyNumberFormat="1" applyFont="1" applyFill="1" applyBorder="1" applyAlignment="1">
      <alignment horizontal="center"/>
    </xf>
    <xf numFmtId="1" fontId="6" fillId="5" borderId="13" xfId="0" applyNumberFormat="1" applyFont="1" applyFill="1" applyBorder="1" applyAlignment="1">
      <alignment horizontal="center"/>
    </xf>
    <xf numFmtId="1" fontId="8" fillId="8" borderId="11" xfId="0" applyNumberFormat="1" applyFont="1" applyFill="1" applyBorder="1" applyAlignment="1">
      <alignment horizontal="center"/>
    </xf>
    <xf numFmtId="1" fontId="8" fillId="8" borderId="12" xfId="0" applyNumberFormat="1" applyFont="1" applyFill="1" applyBorder="1" applyAlignment="1">
      <alignment horizontal="center"/>
    </xf>
    <xf numFmtId="1" fontId="8" fillId="8" borderId="13" xfId="0" applyNumberFormat="1" applyFont="1" applyFill="1" applyBorder="1" applyAlignment="1">
      <alignment horizontal="center"/>
    </xf>
    <xf numFmtId="49" fontId="2" fillId="0" borderId="11" xfId="0" applyNumberFormat="1" applyFont="1" applyBorder="1" applyAlignment="1">
      <alignment horizontal="center" wrapText="1"/>
    </xf>
    <xf numFmtId="49" fontId="2" fillId="0" borderId="12" xfId="0" applyNumberFormat="1" applyFont="1" applyBorder="1" applyAlignment="1">
      <alignment horizontal="center" wrapText="1"/>
    </xf>
    <xf numFmtId="49" fontId="2" fillId="0" borderId="13" xfId="0" applyNumberFormat="1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49" fontId="1" fillId="7" borderId="11" xfId="0" applyNumberFormat="1" applyFont="1" applyFill="1" applyBorder="1" applyAlignment="1">
      <alignment horizontal="center" vertical="center"/>
    </xf>
    <xf numFmtId="49" fontId="1" fillId="7" borderId="12" xfId="0" applyNumberFormat="1" applyFont="1" applyFill="1" applyBorder="1" applyAlignment="1">
      <alignment horizontal="center" vertical="center"/>
    </xf>
    <xf numFmtId="49" fontId="1" fillId="7" borderId="13" xfId="0" applyNumberFormat="1" applyFont="1" applyFill="1" applyBorder="1" applyAlignment="1">
      <alignment horizontal="center" vertical="center"/>
    </xf>
    <xf numFmtId="1" fontId="1" fillId="6" borderId="11" xfId="0" applyNumberFormat="1" applyFont="1" applyFill="1" applyBorder="1" applyAlignment="1">
      <alignment horizontal="center" vertical="center"/>
    </xf>
    <xf numFmtId="1" fontId="1" fillId="6" borderId="12" xfId="0" applyNumberFormat="1" applyFont="1" applyFill="1" applyBorder="1" applyAlignment="1">
      <alignment horizontal="center" vertical="center"/>
    </xf>
    <xf numFmtId="1" fontId="1" fillId="6" borderId="13" xfId="0" applyNumberFormat="1" applyFont="1" applyFill="1" applyBorder="1" applyAlignment="1">
      <alignment horizontal="center" vertical="center"/>
    </xf>
    <xf numFmtId="49" fontId="9" fillId="8" borderId="4" xfId="0" applyNumberFormat="1" applyFont="1" applyFill="1" applyBorder="1" applyAlignment="1">
      <alignment horizontal="center" vertical="center" wrapText="1"/>
    </xf>
    <xf numFmtId="49" fontId="9" fillId="8" borderId="5" xfId="0" applyNumberFormat="1" applyFont="1" applyFill="1" applyBorder="1" applyAlignment="1">
      <alignment horizontal="center" vertical="center" wrapText="1"/>
    </xf>
    <xf numFmtId="49" fontId="9" fillId="8" borderId="6" xfId="0" applyNumberFormat="1" applyFont="1" applyFill="1" applyBorder="1" applyAlignment="1">
      <alignment horizontal="center" vertical="center" wrapText="1"/>
    </xf>
    <xf numFmtId="49" fontId="9" fillId="8" borderId="7" xfId="0" applyNumberFormat="1" applyFont="1" applyFill="1" applyBorder="1" applyAlignment="1">
      <alignment horizontal="center" vertical="center" wrapText="1"/>
    </xf>
    <xf numFmtId="49" fontId="9" fillId="8" borderId="0" xfId="0" applyNumberFormat="1" applyFont="1" applyFill="1" applyAlignment="1">
      <alignment horizontal="center" vertical="center" wrapText="1"/>
    </xf>
    <xf numFmtId="49" fontId="9" fillId="8" borderId="8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13" borderId="5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0B6C-DCC7-431C-BE0B-5C88BA577BC6}">
  <dimension ref="B2:AD68"/>
  <sheetViews>
    <sheetView showGridLines="0" tabSelected="1" workbookViewId="0">
      <selection activeCell="P12" sqref="P12"/>
    </sheetView>
  </sheetViews>
  <sheetFormatPr defaultRowHeight="12.75" x14ac:dyDescent="0.2"/>
  <sheetData>
    <row r="2" spans="2:30" ht="19.5" x14ac:dyDescent="0.35">
      <c r="B2" s="17"/>
      <c r="C2" s="18"/>
      <c r="D2" s="18"/>
      <c r="E2" s="28"/>
      <c r="F2" s="19" t="s">
        <v>0</v>
      </c>
      <c r="G2" s="18"/>
      <c r="H2" s="20"/>
      <c r="I2" s="18"/>
      <c r="J2" s="108" t="s">
        <v>100</v>
      </c>
      <c r="K2" s="108"/>
      <c r="L2" s="108"/>
      <c r="M2" s="18"/>
      <c r="N2" s="18"/>
      <c r="O2" s="18"/>
      <c r="Q2" s="17"/>
      <c r="R2" s="18"/>
      <c r="S2" s="18"/>
      <c r="T2" s="28"/>
      <c r="U2" s="19" t="s">
        <v>0</v>
      </c>
      <c r="V2" s="18"/>
      <c r="W2" s="20"/>
      <c r="X2" s="18"/>
      <c r="Y2" s="108" t="s">
        <v>101</v>
      </c>
      <c r="Z2" s="108"/>
      <c r="AA2" s="108"/>
      <c r="AB2" s="108"/>
      <c r="AC2" s="18"/>
      <c r="AD2" s="18"/>
    </row>
    <row r="3" spans="2:30" ht="15" x14ac:dyDescent="0.3">
      <c r="B3" s="21"/>
      <c r="C3" s="1"/>
      <c r="D3" s="1"/>
      <c r="E3" s="29"/>
      <c r="F3" s="1"/>
      <c r="G3" s="1"/>
      <c r="H3" s="9"/>
      <c r="I3" s="1"/>
      <c r="J3" s="1"/>
      <c r="K3" s="1"/>
      <c r="L3" s="1"/>
      <c r="M3" s="1"/>
      <c r="N3" s="1"/>
      <c r="O3" s="1"/>
      <c r="Q3" s="21"/>
      <c r="R3" s="1"/>
      <c r="S3" s="1"/>
      <c r="T3" s="29"/>
      <c r="U3" s="1"/>
      <c r="V3" s="1"/>
      <c r="W3" s="9"/>
      <c r="X3" s="1"/>
      <c r="Y3" s="1"/>
      <c r="Z3" s="1"/>
      <c r="AA3" s="1"/>
      <c r="AB3" s="1"/>
      <c r="AC3" s="1"/>
      <c r="AD3" s="1"/>
    </row>
    <row r="4" spans="2:30" ht="19.5" x14ac:dyDescent="0.4">
      <c r="B4" s="21"/>
      <c r="C4" s="23" t="s">
        <v>1</v>
      </c>
      <c r="D4" s="107" t="s">
        <v>98</v>
      </c>
      <c r="E4" s="107"/>
      <c r="F4" s="107"/>
      <c r="G4" s="107"/>
      <c r="H4" s="107"/>
      <c r="I4" s="107"/>
      <c r="J4" s="107"/>
      <c r="K4" s="1"/>
      <c r="L4" s="1"/>
      <c r="M4" s="1"/>
      <c r="N4" s="1"/>
      <c r="O4" s="1"/>
      <c r="Q4" s="21"/>
      <c r="R4" s="23" t="s">
        <v>1</v>
      </c>
      <c r="S4" s="24"/>
      <c r="T4" s="30"/>
      <c r="U4" s="1"/>
      <c r="V4" s="1"/>
      <c r="W4" s="9"/>
      <c r="X4" s="1"/>
      <c r="Y4" s="1"/>
      <c r="Z4" s="1"/>
      <c r="AA4" s="1"/>
      <c r="AB4" s="1"/>
      <c r="AC4" s="1"/>
      <c r="AD4" s="1"/>
    </row>
    <row r="5" spans="2:30" ht="20.25" x14ac:dyDescent="0.4">
      <c r="B5" s="21"/>
      <c r="C5" s="23" t="s">
        <v>2</v>
      </c>
      <c r="D5" s="107" t="s">
        <v>99</v>
      </c>
      <c r="E5" s="107"/>
      <c r="F5" s="107"/>
      <c r="G5" s="107"/>
      <c r="H5" s="107"/>
      <c r="I5" s="107"/>
      <c r="J5" s="107"/>
      <c r="K5" s="1"/>
      <c r="L5" s="1"/>
      <c r="M5" s="1"/>
      <c r="N5" s="1"/>
      <c r="O5" s="1"/>
      <c r="Q5" s="21"/>
      <c r="R5" s="23" t="s">
        <v>2</v>
      </c>
      <c r="S5" s="24"/>
      <c r="T5" s="30"/>
      <c r="U5" s="25"/>
      <c r="V5" s="1"/>
      <c r="W5" s="9"/>
      <c r="X5" s="1"/>
      <c r="Y5" s="1"/>
      <c r="Z5" s="1"/>
      <c r="AA5" s="1"/>
      <c r="AB5" s="1"/>
      <c r="AC5" s="1"/>
      <c r="AD5" s="1"/>
    </row>
    <row r="6" spans="2:30" ht="19.5" x14ac:dyDescent="0.4">
      <c r="B6" s="21"/>
      <c r="C6" s="23"/>
      <c r="D6" s="24"/>
      <c r="E6" s="30"/>
      <c r="F6" s="24"/>
      <c r="G6" s="1"/>
      <c r="H6" s="9"/>
      <c r="I6" s="1"/>
      <c r="J6" s="1"/>
      <c r="K6" s="1"/>
      <c r="L6" s="1"/>
      <c r="M6" s="1"/>
      <c r="N6" s="1"/>
      <c r="O6" s="1"/>
      <c r="Q6" s="21"/>
      <c r="R6" s="23"/>
      <c r="S6" s="24"/>
      <c r="T6" s="30"/>
      <c r="U6" s="24"/>
      <c r="V6" s="1"/>
      <c r="W6" s="9"/>
      <c r="X6" s="1"/>
      <c r="Y6" s="1"/>
      <c r="Z6" s="1"/>
      <c r="AA6" s="1"/>
      <c r="AB6" s="1"/>
      <c r="AC6" s="1"/>
      <c r="AD6" s="1"/>
    </row>
    <row r="7" spans="2:30" ht="33" x14ac:dyDescent="0.2">
      <c r="B7" s="13" t="s">
        <v>3</v>
      </c>
      <c r="C7" s="13" t="s">
        <v>4</v>
      </c>
      <c r="D7" s="64" t="s">
        <v>5</v>
      </c>
      <c r="E7" s="64"/>
      <c r="F7" s="64"/>
      <c r="G7" s="64"/>
      <c r="H7" s="14" t="s">
        <v>6</v>
      </c>
      <c r="I7" s="13" t="s">
        <v>7</v>
      </c>
      <c r="J7" s="13" t="s">
        <v>8</v>
      </c>
      <c r="K7" s="61" t="s">
        <v>9</v>
      </c>
      <c r="L7" s="13" t="s">
        <v>10</v>
      </c>
      <c r="M7" s="45" t="s">
        <v>11</v>
      </c>
      <c r="N7" s="46"/>
      <c r="O7" s="47"/>
      <c r="Q7" s="13" t="s">
        <v>3</v>
      </c>
      <c r="R7" s="13" t="s">
        <v>4</v>
      </c>
      <c r="S7" s="64" t="s">
        <v>5</v>
      </c>
      <c r="T7" s="64"/>
      <c r="U7" s="64"/>
      <c r="V7" s="64"/>
      <c r="W7" s="14" t="s">
        <v>6</v>
      </c>
      <c r="X7" s="13" t="s">
        <v>7</v>
      </c>
      <c r="Y7" s="13" t="s">
        <v>8</v>
      </c>
      <c r="Z7" s="61" t="s">
        <v>9</v>
      </c>
      <c r="AA7" s="13" t="s">
        <v>10</v>
      </c>
      <c r="AB7" s="45" t="s">
        <v>11</v>
      </c>
      <c r="AC7" s="46"/>
      <c r="AD7" s="47"/>
    </row>
    <row r="8" spans="2:30" ht="15" x14ac:dyDescent="0.3">
      <c r="B8" s="4" t="s">
        <v>12</v>
      </c>
      <c r="C8" s="4">
        <v>1</v>
      </c>
      <c r="D8" s="63" t="s">
        <v>86</v>
      </c>
      <c r="E8" s="63"/>
      <c r="F8" s="63"/>
      <c r="G8" s="63"/>
      <c r="H8" s="8"/>
      <c r="I8" s="2">
        <v>3</v>
      </c>
      <c r="J8" s="2">
        <v>5</v>
      </c>
      <c r="K8" s="3">
        <f>I8*J8</f>
        <v>15</v>
      </c>
      <c r="L8" s="3" t="s">
        <v>13</v>
      </c>
      <c r="M8" s="76" t="s">
        <v>93</v>
      </c>
      <c r="N8" s="77"/>
      <c r="O8" s="78"/>
      <c r="Q8" s="4" t="s">
        <v>12</v>
      </c>
      <c r="R8" s="4">
        <v>1</v>
      </c>
      <c r="S8" s="63" t="s">
        <v>86</v>
      </c>
      <c r="T8" s="63"/>
      <c r="U8" s="63"/>
      <c r="V8" s="63"/>
      <c r="W8" s="8"/>
      <c r="X8" s="2">
        <v>2</v>
      </c>
      <c r="Y8" s="2">
        <v>3</v>
      </c>
      <c r="Z8" s="3">
        <f>X8*Y8</f>
        <v>6</v>
      </c>
      <c r="AA8" s="3" t="s">
        <v>15</v>
      </c>
      <c r="AB8" s="76"/>
      <c r="AC8" s="77"/>
      <c r="AD8" s="78"/>
    </row>
    <row r="9" spans="2:30" ht="15" x14ac:dyDescent="0.3">
      <c r="B9" s="4" t="s">
        <v>12</v>
      </c>
      <c r="C9" s="4">
        <v>2</v>
      </c>
      <c r="D9" s="63" t="s">
        <v>14</v>
      </c>
      <c r="E9" s="63"/>
      <c r="F9" s="63"/>
      <c r="G9" s="63"/>
      <c r="H9" s="8"/>
      <c r="I9" s="2">
        <v>1</v>
      </c>
      <c r="J9" s="2">
        <v>1</v>
      </c>
      <c r="K9" s="3">
        <f t="shared" ref="K9:K17" si="0">I9*J9</f>
        <v>1</v>
      </c>
      <c r="L9" s="3" t="s">
        <v>16</v>
      </c>
      <c r="M9" s="76"/>
      <c r="N9" s="77"/>
      <c r="O9" s="78"/>
      <c r="Q9" s="4" t="s">
        <v>12</v>
      </c>
      <c r="R9" s="4">
        <v>2</v>
      </c>
      <c r="S9" s="63" t="s">
        <v>14</v>
      </c>
      <c r="T9" s="63"/>
      <c r="U9" s="63"/>
      <c r="V9" s="63"/>
      <c r="W9" s="8"/>
      <c r="X9" s="2">
        <v>1</v>
      </c>
      <c r="Y9" s="2">
        <v>1</v>
      </c>
      <c r="Z9" s="3">
        <f t="shared" ref="Z9:Z17" si="1">X9*Y9</f>
        <v>1</v>
      </c>
      <c r="AA9" s="3" t="s">
        <v>16</v>
      </c>
      <c r="AB9" s="76"/>
      <c r="AC9" s="77"/>
      <c r="AD9" s="78"/>
    </row>
    <row r="10" spans="2:30" ht="15" x14ac:dyDescent="0.3">
      <c r="B10" s="4" t="s">
        <v>12</v>
      </c>
      <c r="C10" s="4">
        <v>3</v>
      </c>
      <c r="D10" s="63" t="s">
        <v>90</v>
      </c>
      <c r="E10" s="63"/>
      <c r="F10" s="63"/>
      <c r="G10" s="63"/>
      <c r="H10" s="8"/>
      <c r="I10" s="2">
        <v>3</v>
      </c>
      <c r="J10" s="2">
        <v>5</v>
      </c>
      <c r="K10" s="3">
        <f t="shared" si="0"/>
        <v>15</v>
      </c>
      <c r="L10" s="3" t="s">
        <v>13</v>
      </c>
      <c r="M10" s="76" t="s">
        <v>94</v>
      </c>
      <c r="N10" s="77"/>
      <c r="O10" s="78"/>
      <c r="Q10" s="4" t="s">
        <v>12</v>
      </c>
      <c r="R10" s="4">
        <v>3</v>
      </c>
      <c r="S10" s="63" t="s">
        <v>90</v>
      </c>
      <c r="T10" s="63"/>
      <c r="U10" s="63"/>
      <c r="V10" s="63"/>
      <c r="W10" s="8"/>
      <c r="X10" s="2">
        <v>2</v>
      </c>
      <c r="Y10" s="2">
        <v>4</v>
      </c>
      <c r="Z10" s="3">
        <f t="shared" si="1"/>
        <v>8</v>
      </c>
      <c r="AA10" s="3" t="s">
        <v>15</v>
      </c>
      <c r="AB10" s="76"/>
      <c r="AC10" s="77"/>
      <c r="AD10" s="78"/>
    </row>
    <row r="11" spans="2:30" ht="15" x14ac:dyDescent="0.3">
      <c r="B11" s="4" t="s">
        <v>12</v>
      </c>
      <c r="C11" s="4">
        <v>4</v>
      </c>
      <c r="D11" s="63" t="s">
        <v>91</v>
      </c>
      <c r="E11" s="63"/>
      <c r="F11" s="63"/>
      <c r="G11" s="63"/>
      <c r="H11" s="48"/>
      <c r="I11" s="2">
        <v>2</v>
      </c>
      <c r="J11" s="2">
        <v>3</v>
      </c>
      <c r="K11" s="3">
        <f t="shared" si="0"/>
        <v>6</v>
      </c>
      <c r="L11" s="3" t="s">
        <v>15</v>
      </c>
      <c r="M11" s="79"/>
      <c r="N11" s="80"/>
      <c r="O11" s="81"/>
      <c r="Q11" s="4" t="s">
        <v>12</v>
      </c>
      <c r="R11" s="4">
        <v>4</v>
      </c>
      <c r="S11" s="63" t="s">
        <v>91</v>
      </c>
      <c r="T11" s="63"/>
      <c r="U11" s="63"/>
      <c r="V11" s="63"/>
      <c r="W11" s="48"/>
      <c r="X11" s="2">
        <v>2</v>
      </c>
      <c r="Y11" s="2">
        <v>3</v>
      </c>
      <c r="Z11" s="3">
        <f t="shared" si="1"/>
        <v>6</v>
      </c>
      <c r="AA11" s="3" t="s">
        <v>15</v>
      </c>
      <c r="AB11" s="79"/>
      <c r="AC11" s="80"/>
      <c r="AD11" s="81"/>
    </row>
    <row r="12" spans="2:30" ht="15" x14ac:dyDescent="0.3">
      <c r="B12" s="4" t="s">
        <v>12</v>
      </c>
      <c r="C12" s="4">
        <v>5</v>
      </c>
      <c r="D12" s="63" t="s">
        <v>89</v>
      </c>
      <c r="E12" s="63"/>
      <c r="F12" s="63"/>
      <c r="G12" s="63"/>
      <c r="H12" s="48"/>
      <c r="I12" s="2">
        <v>4</v>
      </c>
      <c r="J12" s="2">
        <v>5</v>
      </c>
      <c r="K12" s="3">
        <f t="shared" si="0"/>
        <v>20</v>
      </c>
      <c r="L12" s="3" t="s">
        <v>13</v>
      </c>
      <c r="M12" s="76" t="s">
        <v>95</v>
      </c>
      <c r="N12" s="77"/>
      <c r="O12" s="78"/>
      <c r="Q12" s="4" t="s">
        <v>12</v>
      </c>
      <c r="R12" s="4">
        <v>5</v>
      </c>
      <c r="S12" s="63" t="s">
        <v>89</v>
      </c>
      <c r="T12" s="63"/>
      <c r="U12" s="63"/>
      <c r="V12" s="63"/>
      <c r="W12" s="48"/>
      <c r="X12" s="2">
        <v>4</v>
      </c>
      <c r="Y12" s="2">
        <v>3</v>
      </c>
      <c r="Z12" s="3">
        <f t="shared" si="1"/>
        <v>12</v>
      </c>
      <c r="AA12" s="3" t="s">
        <v>15</v>
      </c>
      <c r="AB12" s="76"/>
      <c r="AC12" s="77"/>
      <c r="AD12" s="78"/>
    </row>
    <row r="13" spans="2:30" ht="15" x14ac:dyDescent="0.3">
      <c r="B13" s="4" t="s">
        <v>12</v>
      </c>
      <c r="C13" s="4">
        <v>6</v>
      </c>
      <c r="D13" s="63" t="s">
        <v>87</v>
      </c>
      <c r="E13" s="63"/>
      <c r="F13" s="63"/>
      <c r="G13" s="63"/>
      <c r="H13" s="48"/>
      <c r="I13" s="2">
        <v>2</v>
      </c>
      <c r="J13" s="2">
        <v>3</v>
      </c>
      <c r="K13" s="3">
        <f t="shared" si="0"/>
        <v>6</v>
      </c>
      <c r="L13" s="3" t="s">
        <v>15</v>
      </c>
      <c r="M13" s="79"/>
      <c r="N13" s="80"/>
      <c r="O13" s="81"/>
      <c r="Q13" s="4" t="s">
        <v>12</v>
      </c>
      <c r="R13" s="4">
        <v>6</v>
      </c>
      <c r="S13" s="63" t="s">
        <v>87</v>
      </c>
      <c r="T13" s="63"/>
      <c r="U13" s="63"/>
      <c r="V13" s="63"/>
      <c r="W13" s="48"/>
      <c r="X13" s="2">
        <v>2</v>
      </c>
      <c r="Y13" s="2">
        <v>3</v>
      </c>
      <c r="Z13" s="3">
        <f t="shared" si="1"/>
        <v>6</v>
      </c>
      <c r="AA13" s="3" t="s">
        <v>15</v>
      </c>
      <c r="AB13" s="79"/>
      <c r="AC13" s="80"/>
      <c r="AD13" s="81"/>
    </row>
    <row r="14" spans="2:30" ht="15" x14ac:dyDescent="0.3">
      <c r="B14" s="4" t="s">
        <v>12</v>
      </c>
      <c r="C14" s="4">
        <v>7</v>
      </c>
      <c r="D14" s="63" t="s">
        <v>88</v>
      </c>
      <c r="E14" s="63"/>
      <c r="F14" s="63"/>
      <c r="G14" s="63"/>
      <c r="H14" s="48"/>
      <c r="I14" s="2">
        <v>1</v>
      </c>
      <c r="J14" s="2">
        <v>3</v>
      </c>
      <c r="K14" s="3">
        <f t="shared" si="0"/>
        <v>3</v>
      </c>
      <c r="L14" s="3" t="s">
        <v>16</v>
      </c>
      <c r="M14" s="79"/>
      <c r="N14" s="80"/>
      <c r="O14" s="81"/>
      <c r="Q14" s="4" t="s">
        <v>12</v>
      </c>
      <c r="R14" s="4">
        <v>7</v>
      </c>
      <c r="S14" s="63" t="s">
        <v>88</v>
      </c>
      <c r="T14" s="63"/>
      <c r="U14" s="63"/>
      <c r="V14" s="63"/>
      <c r="W14" s="48"/>
      <c r="X14" s="2">
        <v>1</v>
      </c>
      <c r="Y14" s="2">
        <v>3</v>
      </c>
      <c r="Z14" s="3">
        <f t="shared" si="1"/>
        <v>3</v>
      </c>
      <c r="AA14" s="3" t="s">
        <v>16</v>
      </c>
      <c r="AB14" s="79"/>
      <c r="AC14" s="80"/>
      <c r="AD14" s="81"/>
    </row>
    <row r="15" spans="2:30" ht="16.5" x14ac:dyDescent="0.3">
      <c r="B15" s="4" t="s">
        <v>17</v>
      </c>
      <c r="C15" s="4">
        <v>8</v>
      </c>
      <c r="D15" s="63" t="s">
        <v>18</v>
      </c>
      <c r="E15" s="63"/>
      <c r="F15" s="63"/>
      <c r="G15" s="63"/>
      <c r="H15" s="48"/>
      <c r="I15" s="2">
        <v>3</v>
      </c>
      <c r="J15" s="2">
        <v>5</v>
      </c>
      <c r="K15" s="40">
        <f t="shared" si="0"/>
        <v>15</v>
      </c>
      <c r="L15" s="3" t="s">
        <v>19</v>
      </c>
      <c r="M15" s="79"/>
      <c r="N15" s="80"/>
      <c r="O15" s="81"/>
      <c r="Q15" s="4" t="s">
        <v>17</v>
      </c>
      <c r="R15" s="4">
        <v>8</v>
      </c>
      <c r="S15" s="63" t="s">
        <v>18</v>
      </c>
      <c r="T15" s="63"/>
      <c r="U15" s="63"/>
      <c r="V15" s="63"/>
      <c r="W15" s="48"/>
      <c r="X15" s="2">
        <v>3</v>
      </c>
      <c r="Y15" s="2">
        <v>5</v>
      </c>
      <c r="Z15" s="40">
        <f t="shared" si="1"/>
        <v>15</v>
      </c>
      <c r="AA15" s="3" t="s">
        <v>19</v>
      </c>
      <c r="AB15" s="79"/>
      <c r="AC15" s="80"/>
      <c r="AD15" s="81"/>
    </row>
    <row r="16" spans="2:30" ht="16.5" x14ac:dyDescent="0.3">
      <c r="B16" s="4" t="s">
        <v>17</v>
      </c>
      <c r="C16" s="4">
        <v>9</v>
      </c>
      <c r="D16" s="63" t="s">
        <v>20</v>
      </c>
      <c r="E16" s="63"/>
      <c r="F16" s="63"/>
      <c r="G16" s="63"/>
      <c r="H16" s="48"/>
      <c r="I16" s="2">
        <v>3</v>
      </c>
      <c r="J16" s="2">
        <v>4</v>
      </c>
      <c r="K16" s="39">
        <f t="shared" si="0"/>
        <v>12</v>
      </c>
      <c r="L16" s="3" t="s">
        <v>21</v>
      </c>
      <c r="M16" s="79" t="s">
        <v>97</v>
      </c>
      <c r="N16" s="80"/>
      <c r="O16" s="81"/>
      <c r="Q16" s="4" t="s">
        <v>17</v>
      </c>
      <c r="R16" s="4">
        <v>9</v>
      </c>
      <c r="S16" s="63" t="s">
        <v>20</v>
      </c>
      <c r="T16" s="63"/>
      <c r="U16" s="63"/>
      <c r="V16" s="63"/>
      <c r="W16" s="48"/>
      <c r="X16" s="2">
        <v>1</v>
      </c>
      <c r="Y16" s="2">
        <v>4</v>
      </c>
      <c r="Z16" s="38">
        <f t="shared" si="1"/>
        <v>4</v>
      </c>
      <c r="AA16" s="3" t="s">
        <v>16</v>
      </c>
      <c r="AB16" s="79"/>
      <c r="AC16" s="80"/>
      <c r="AD16" s="81"/>
    </row>
    <row r="17" spans="2:30" ht="16.5" x14ac:dyDescent="0.3">
      <c r="B17" s="4" t="s">
        <v>17</v>
      </c>
      <c r="C17" s="4">
        <v>10</v>
      </c>
      <c r="D17" s="106" t="s">
        <v>92</v>
      </c>
      <c r="E17" s="106"/>
      <c r="F17" s="106"/>
      <c r="G17" s="106"/>
      <c r="H17" s="8"/>
      <c r="I17" s="2">
        <v>4</v>
      </c>
      <c r="J17" s="2">
        <v>3</v>
      </c>
      <c r="K17" s="39">
        <f t="shared" si="0"/>
        <v>12</v>
      </c>
      <c r="L17" s="3" t="s">
        <v>21</v>
      </c>
      <c r="M17" s="79" t="s">
        <v>96</v>
      </c>
      <c r="N17" s="80"/>
      <c r="O17" s="81"/>
      <c r="Q17" s="4" t="s">
        <v>17</v>
      </c>
      <c r="R17" s="4">
        <v>10</v>
      </c>
      <c r="S17" s="106" t="s">
        <v>92</v>
      </c>
      <c r="T17" s="106"/>
      <c r="U17" s="106"/>
      <c r="V17" s="106"/>
      <c r="W17" s="8"/>
      <c r="X17" s="2">
        <v>2</v>
      </c>
      <c r="Y17" s="2">
        <v>3</v>
      </c>
      <c r="Z17" s="38">
        <f t="shared" si="1"/>
        <v>6</v>
      </c>
      <c r="AA17" s="3" t="s">
        <v>16</v>
      </c>
      <c r="AB17" s="79"/>
      <c r="AC17" s="80"/>
      <c r="AD17" s="81"/>
    </row>
    <row r="18" spans="2:30" ht="15" x14ac:dyDescent="0.3">
      <c r="B18" s="21"/>
      <c r="C18" s="1"/>
      <c r="D18" s="1"/>
      <c r="E18" s="29"/>
      <c r="F18" s="1"/>
      <c r="G18" s="1"/>
      <c r="H18" s="9"/>
      <c r="I18" s="1"/>
      <c r="J18" s="1"/>
      <c r="K18" s="1"/>
      <c r="L18" s="1"/>
      <c r="M18" s="1"/>
      <c r="N18" s="1"/>
      <c r="O18" s="1"/>
      <c r="Q18" s="21"/>
      <c r="R18" s="1"/>
      <c r="S18" s="1"/>
      <c r="T18" s="29"/>
      <c r="U18" s="1"/>
      <c r="V18" s="1"/>
      <c r="W18" s="9"/>
      <c r="X18" s="1"/>
      <c r="Y18" s="1"/>
      <c r="Z18" s="1"/>
      <c r="AA18" s="1"/>
      <c r="AB18" s="1"/>
      <c r="AC18" s="1"/>
      <c r="AD18" s="1"/>
    </row>
    <row r="19" spans="2:30" ht="15" x14ac:dyDescent="0.3">
      <c r="B19" s="26"/>
      <c r="C19" s="7"/>
      <c r="D19" s="7"/>
      <c r="E19" s="31"/>
      <c r="F19" s="7"/>
      <c r="G19" s="7"/>
      <c r="H19" s="10"/>
      <c r="I19" s="7"/>
      <c r="J19" s="7"/>
      <c r="K19" s="7"/>
      <c r="L19" s="7"/>
      <c r="M19" s="7"/>
      <c r="N19" s="7"/>
      <c r="O19" s="7"/>
      <c r="Q19" s="26"/>
      <c r="R19" s="7"/>
      <c r="S19" s="7"/>
      <c r="T19" s="31"/>
      <c r="U19" s="7"/>
      <c r="V19" s="7"/>
      <c r="W19" s="10"/>
      <c r="X19" s="7"/>
      <c r="Y19" s="7"/>
      <c r="Z19" s="7"/>
      <c r="AA19" s="7"/>
      <c r="AB19" s="7"/>
      <c r="AC19" s="7"/>
      <c r="AD19" s="7"/>
    </row>
    <row r="20" spans="2:30" ht="15" x14ac:dyDescent="0.3">
      <c r="B20" s="21"/>
      <c r="C20" s="1"/>
      <c r="D20" s="1"/>
      <c r="E20" s="29"/>
      <c r="F20" s="62" t="s">
        <v>23</v>
      </c>
      <c r="G20" s="62"/>
      <c r="H20" s="62"/>
      <c r="I20" s="62"/>
      <c r="J20" s="1"/>
      <c r="K20" s="62" t="s">
        <v>23</v>
      </c>
      <c r="L20" s="62"/>
      <c r="M20" s="62"/>
      <c r="N20" s="1"/>
      <c r="O20" s="1"/>
      <c r="Q20" s="21"/>
      <c r="R20" s="1"/>
      <c r="S20" s="1"/>
      <c r="T20" s="29"/>
      <c r="U20" s="62" t="s">
        <v>23</v>
      </c>
      <c r="V20" s="62"/>
      <c r="W20" s="62"/>
      <c r="X20" s="62"/>
      <c r="Y20" s="1"/>
      <c r="Z20" s="62" t="s">
        <v>23</v>
      </c>
      <c r="AA20" s="62"/>
      <c r="AB20" s="62"/>
      <c r="AC20" s="1"/>
      <c r="AD20" s="1"/>
    </row>
    <row r="21" spans="2:30" ht="33" x14ac:dyDescent="0.2">
      <c r="B21" s="34"/>
      <c r="C21" s="29"/>
      <c r="D21" s="29"/>
      <c r="E21" s="29"/>
      <c r="F21" s="35" t="s">
        <v>16</v>
      </c>
      <c r="G21" s="36" t="s">
        <v>15</v>
      </c>
      <c r="H21" s="37" t="s">
        <v>13</v>
      </c>
      <c r="I21" s="52" t="s">
        <v>24</v>
      </c>
      <c r="J21" s="29"/>
      <c r="K21" s="38" t="s">
        <v>16</v>
      </c>
      <c r="L21" s="39" t="s">
        <v>21</v>
      </c>
      <c r="M21" s="40" t="s">
        <v>19</v>
      </c>
      <c r="N21" s="40" t="s">
        <v>22</v>
      </c>
      <c r="O21" s="29"/>
      <c r="Q21" s="34"/>
      <c r="R21" s="29"/>
      <c r="S21" s="29"/>
      <c r="T21" s="29"/>
      <c r="U21" s="35" t="s">
        <v>16</v>
      </c>
      <c r="V21" s="36" t="s">
        <v>15</v>
      </c>
      <c r="W21" s="37" t="s">
        <v>13</v>
      </c>
      <c r="X21" s="52" t="s">
        <v>24</v>
      </c>
      <c r="Y21" s="29"/>
      <c r="Z21" s="38" t="s">
        <v>16</v>
      </c>
      <c r="AA21" s="39" t="s">
        <v>21</v>
      </c>
      <c r="AB21" s="40" t="s">
        <v>19</v>
      </c>
      <c r="AC21" s="40" t="s">
        <v>22</v>
      </c>
      <c r="AD21" s="29"/>
    </row>
    <row r="22" spans="2:30" ht="15" x14ac:dyDescent="0.3">
      <c r="B22" s="21"/>
      <c r="C22" s="5" t="s">
        <v>25</v>
      </c>
      <c r="D22" s="1"/>
      <c r="E22" s="29"/>
      <c r="F22" s="1"/>
      <c r="G22" s="1"/>
      <c r="H22" s="9"/>
      <c r="I22" s="1"/>
      <c r="J22" s="1"/>
      <c r="K22" s="1"/>
      <c r="L22" s="1"/>
      <c r="M22" s="1"/>
      <c r="N22" s="1"/>
      <c r="O22" s="1"/>
      <c r="Q22" s="21"/>
      <c r="R22" s="5" t="s">
        <v>25</v>
      </c>
      <c r="S22" s="1"/>
      <c r="T22" s="29"/>
      <c r="U22" s="1"/>
      <c r="V22" s="1"/>
      <c r="W22" s="9"/>
      <c r="X22" s="1"/>
      <c r="Y22" s="1"/>
      <c r="Z22" s="1"/>
      <c r="AA22" s="1"/>
      <c r="AB22" s="1"/>
      <c r="AC22" s="1"/>
      <c r="AD22" s="1"/>
    </row>
    <row r="23" spans="2:30" ht="16.5" x14ac:dyDescent="0.35">
      <c r="B23" s="21"/>
      <c r="C23" s="5" t="s">
        <v>26</v>
      </c>
      <c r="D23" s="5">
        <v>5</v>
      </c>
      <c r="E23" s="53">
        <f>D23*$E$28</f>
        <v>5</v>
      </c>
      <c r="F23" s="54">
        <f>D23*$F$28</f>
        <v>10</v>
      </c>
      <c r="G23" s="55">
        <f>D23*$G$28</f>
        <v>15</v>
      </c>
      <c r="H23" s="56">
        <f>D23*$H$28</f>
        <v>20</v>
      </c>
      <c r="I23" s="55">
        <f>D23*$I$28</f>
        <v>25</v>
      </c>
      <c r="J23" s="43">
        <v>25</v>
      </c>
      <c r="K23" s="41">
        <v>20</v>
      </c>
      <c r="L23" s="43">
        <v>15</v>
      </c>
      <c r="M23" s="42">
        <v>10</v>
      </c>
      <c r="N23" s="57">
        <v>5</v>
      </c>
      <c r="O23" s="1"/>
      <c r="Q23" s="21"/>
      <c r="R23" s="5" t="s">
        <v>26</v>
      </c>
      <c r="S23" s="5">
        <v>5</v>
      </c>
      <c r="T23" s="53">
        <f>S23*$E$28</f>
        <v>5</v>
      </c>
      <c r="U23" s="54">
        <f>S23*$F$28</f>
        <v>10</v>
      </c>
      <c r="V23" s="55">
        <f>S23*$G$28</f>
        <v>15</v>
      </c>
      <c r="W23" s="56">
        <f>S23*$H$28</f>
        <v>20</v>
      </c>
      <c r="X23" s="55">
        <f>S23*$I$28</f>
        <v>25</v>
      </c>
      <c r="Y23" s="43">
        <v>25</v>
      </c>
      <c r="Z23" s="41">
        <v>20</v>
      </c>
      <c r="AA23" s="43">
        <v>15</v>
      </c>
      <c r="AB23" s="42">
        <v>10</v>
      </c>
      <c r="AC23" s="57">
        <v>5</v>
      </c>
      <c r="AD23" s="1"/>
    </row>
    <row r="24" spans="2:30" ht="16.5" x14ac:dyDescent="0.35">
      <c r="B24" s="21"/>
      <c r="C24" s="5" t="s">
        <v>27</v>
      </c>
      <c r="D24" s="5">
        <v>4</v>
      </c>
      <c r="E24" s="53">
        <f>D24*$E$28</f>
        <v>4</v>
      </c>
      <c r="F24" s="54">
        <f>D24*$F$28</f>
        <v>8</v>
      </c>
      <c r="G24" s="54">
        <f>D24*$G$28</f>
        <v>12</v>
      </c>
      <c r="H24" s="56">
        <f>D24*$H$28</f>
        <v>16</v>
      </c>
      <c r="I24" s="55">
        <f>D24*$I$28</f>
        <v>20</v>
      </c>
      <c r="J24" s="43">
        <v>20</v>
      </c>
      <c r="K24" s="41">
        <v>16</v>
      </c>
      <c r="L24" s="42">
        <v>12</v>
      </c>
      <c r="M24" s="42">
        <v>8</v>
      </c>
      <c r="N24" s="57">
        <v>4</v>
      </c>
      <c r="O24" s="1"/>
      <c r="Q24" s="21"/>
      <c r="R24" s="5" t="s">
        <v>27</v>
      </c>
      <c r="S24" s="5">
        <v>4</v>
      </c>
      <c r="T24" s="53">
        <f>S24*$E$28</f>
        <v>4</v>
      </c>
      <c r="U24" s="54">
        <f>S24*$F$28</f>
        <v>8</v>
      </c>
      <c r="V24" s="54">
        <f>S24*$G$28</f>
        <v>12</v>
      </c>
      <c r="W24" s="56">
        <f>S24*$H$28</f>
        <v>16</v>
      </c>
      <c r="X24" s="55">
        <f>S24*$I$28</f>
        <v>20</v>
      </c>
      <c r="Y24" s="43">
        <v>20</v>
      </c>
      <c r="Z24" s="41">
        <v>16</v>
      </c>
      <c r="AA24" s="42">
        <v>12</v>
      </c>
      <c r="AB24" s="42">
        <v>8</v>
      </c>
      <c r="AC24" s="57">
        <v>4</v>
      </c>
      <c r="AD24" s="1"/>
    </row>
    <row r="25" spans="2:30" ht="16.5" x14ac:dyDescent="0.35">
      <c r="B25" s="21"/>
      <c r="C25" s="5" t="s">
        <v>28</v>
      </c>
      <c r="D25" s="5">
        <v>3</v>
      </c>
      <c r="E25" s="53">
        <f>D25*$E$28</f>
        <v>3</v>
      </c>
      <c r="F25" s="58">
        <f>D25*$F$28</f>
        <v>6</v>
      </c>
      <c r="G25" s="54">
        <f>D25*$G$28</f>
        <v>9</v>
      </c>
      <c r="H25" s="59">
        <f>D25*$H$28</f>
        <v>12</v>
      </c>
      <c r="I25" s="55">
        <f>D25*$I$28</f>
        <v>15</v>
      </c>
      <c r="J25" s="43">
        <v>15</v>
      </c>
      <c r="K25" s="60">
        <v>12</v>
      </c>
      <c r="L25" s="42">
        <v>9</v>
      </c>
      <c r="M25" s="44">
        <v>6</v>
      </c>
      <c r="N25" s="57">
        <v>3</v>
      </c>
      <c r="O25" s="1"/>
      <c r="Q25" s="21"/>
      <c r="R25" s="5" t="s">
        <v>28</v>
      </c>
      <c r="S25" s="5">
        <v>3</v>
      </c>
      <c r="T25" s="53">
        <f>S25*$E$28</f>
        <v>3</v>
      </c>
      <c r="U25" s="58">
        <f>S25*$F$28</f>
        <v>6</v>
      </c>
      <c r="V25" s="54">
        <f>S25*$G$28</f>
        <v>9</v>
      </c>
      <c r="W25" s="59">
        <f>S25*$H$28</f>
        <v>12</v>
      </c>
      <c r="X25" s="55">
        <f>S25*$I$28</f>
        <v>15</v>
      </c>
      <c r="Y25" s="43">
        <v>15</v>
      </c>
      <c r="Z25" s="60">
        <v>12</v>
      </c>
      <c r="AA25" s="42">
        <v>9</v>
      </c>
      <c r="AB25" s="44">
        <v>6</v>
      </c>
      <c r="AC25" s="57">
        <v>3</v>
      </c>
      <c r="AD25" s="1"/>
    </row>
    <row r="26" spans="2:30" ht="16.5" x14ac:dyDescent="0.35">
      <c r="B26" s="21"/>
      <c r="C26" s="5" t="s">
        <v>29</v>
      </c>
      <c r="D26" s="5">
        <v>2</v>
      </c>
      <c r="E26" s="53">
        <f>D26*$E$28</f>
        <v>2</v>
      </c>
      <c r="F26" s="58">
        <f>D26*$F$28</f>
        <v>4</v>
      </c>
      <c r="G26" s="58">
        <f>D26*$G$28</f>
        <v>6</v>
      </c>
      <c r="H26" s="59">
        <f>D26*$H$28</f>
        <v>8</v>
      </c>
      <c r="I26" s="54">
        <f>D26*$I$28</f>
        <v>10</v>
      </c>
      <c r="J26" s="42">
        <v>10</v>
      </c>
      <c r="K26" s="60">
        <v>8</v>
      </c>
      <c r="L26" s="44">
        <v>6</v>
      </c>
      <c r="M26" s="44">
        <v>4</v>
      </c>
      <c r="N26" s="57">
        <v>2</v>
      </c>
      <c r="O26" s="1"/>
      <c r="Q26" s="21"/>
      <c r="R26" s="5" t="s">
        <v>29</v>
      </c>
      <c r="S26" s="5">
        <v>2</v>
      </c>
      <c r="T26" s="53">
        <f>S26*$E$28</f>
        <v>2</v>
      </c>
      <c r="U26" s="58">
        <f>S26*$F$28</f>
        <v>4</v>
      </c>
      <c r="V26" s="58">
        <f>S26*$G$28</f>
        <v>6</v>
      </c>
      <c r="W26" s="59">
        <f>S26*$H$28</f>
        <v>8</v>
      </c>
      <c r="X26" s="54">
        <f>S26*$I$28</f>
        <v>10</v>
      </c>
      <c r="Y26" s="42">
        <v>10</v>
      </c>
      <c r="Z26" s="60">
        <v>8</v>
      </c>
      <c r="AA26" s="44">
        <v>6</v>
      </c>
      <c r="AB26" s="44">
        <v>4</v>
      </c>
      <c r="AC26" s="57">
        <v>2</v>
      </c>
      <c r="AD26" s="1"/>
    </row>
    <row r="27" spans="2:30" ht="16.5" x14ac:dyDescent="0.35">
      <c r="B27" s="21"/>
      <c r="C27" s="5" t="s">
        <v>30</v>
      </c>
      <c r="D27" s="5">
        <v>1</v>
      </c>
      <c r="E27" s="53">
        <f>D27*$E$28</f>
        <v>1</v>
      </c>
      <c r="F27" s="58">
        <f>D27*$F$28</f>
        <v>2</v>
      </c>
      <c r="G27" s="58">
        <f>D27*$G$28</f>
        <v>3</v>
      </c>
      <c r="H27" s="59">
        <f>D27*$H$28</f>
        <v>4</v>
      </c>
      <c r="I27" s="54">
        <f>D27*$I$28</f>
        <v>5</v>
      </c>
      <c r="J27" s="42">
        <v>5</v>
      </c>
      <c r="K27" s="60">
        <v>4</v>
      </c>
      <c r="L27" s="44">
        <v>3</v>
      </c>
      <c r="M27" s="44">
        <v>2</v>
      </c>
      <c r="N27" s="57">
        <v>1</v>
      </c>
      <c r="O27" s="1"/>
      <c r="Q27" s="21"/>
      <c r="R27" s="5" t="s">
        <v>30</v>
      </c>
      <c r="S27" s="5">
        <v>1</v>
      </c>
      <c r="T27" s="53">
        <f>S27*$E$28</f>
        <v>1</v>
      </c>
      <c r="U27" s="58">
        <f>S27*$F$28</f>
        <v>2</v>
      </c>
      <c r="V27" s="58">
        <f>S27*$G$28</f>
        <v>3</v>
      </c>
      <c r="W27" s="59">
        <f>S27*$H$28</f>
        <v>4</v>
      </c>
      <c r="X27" s="54">
        <f>S27*$I$28</f>
        <v>5</v>
      </c>
      <c r="Y27" s="42">
        <v>5</v>
      </c>
      <c r="Z27" s="60">
        <v>4</v>
      </c>
      <c r="AA27" s="44">
        <v>3</v>
      </c>
      <c r="AB27" s="44">
        <v>2</v>
      </c>
      <c r="AC27" s="57">
        <v>1</v>
      </c>
      <c r="AD27" s="1"/>
    </row>
    <row r="28" spans="2:30" ht="15" x14ac:dyDescent="0.3">
      <c r="B28" s="21"/>
      <c r="C28" s="1"/>
      <c r="D28" s="1"/>
      <c r="E28" s="32" t="s">
        <v>31</v>
      </c>
      <c r="F28" s="5" t="s">
        <v>32</v>
      </c>
      <c r="G28" s="5" t="s">
        <v>33</v>
      </c>
      <c r="H28" s="11" t="s">
        <v>34</v>
      </c>
      <c r="I28" s="5" t="s">
        <v>35</v>
      </c>
      <c r="J28" s="32" t="s">
        <v>31</v>
      </c>
      <c r="K28" s="5" t="s">
        <v>32</v>
      </c>
      <c r="L28" s="5" t="s">
        <v>33</v>
      </c>
      <c r="M28" s="11" t="s">
        <v>34</v>
      </c>
      <c r="N28" s="5" t="s">
        <v>35</v>
      </c>
      <c r="O28" s="1"/>
      <c r="Q28" s="21"/>
      <c r="R28" s="1"/>
      <c r="S28" s="1"/>
      <c r="T28" s="32" t="s">
        <v>31</v>
      </c>
      <c r="U28" s="5" t="s">
        <v>32</v>
      </c>
      <c r="V28" s="5" t="s">
        <v>33</v>
      </c>
      <c r="W28" s="11" t="s">
        <v>34</v>
      </c>
      <c r="X28" s="5" t="s">
        <v>35</v>
      </c>
      <c r="Y28" s="32" t="s">
        <v>31</v>
      </c>
      <c r="Z28" s="5" t="s">
        <v>32</v>
      </c>
      <c r="AA28" s="5" t="s">
        <v>33</v>
      </c>
      <c r="AB28" s="11" t="s">
        <v>34</v>
      </c>
      <c r="AC28" s="5" t="s">
        <v>35</v>
      </c>
      <c r="AD28" s="1"/>
    </row>
    <row r="29" spans="2:30" ht="15" x14ac:dyDescent="0.3">
      <c r="B29" s="21"/>
      <c r="C29" s="1"/>
      <c r="D29" s="1"/>
      <c r="E29" s="33" t="s">
        <v>36</v>
      </c>
      <c r="F29" s="15" t="s">
        <v>37</v>
      </c>
      <c r="G29" s="15" t="s">
        <v>38</v>
      </c>
      <c r="H29" s="16" t="s">
        <v>39</v>
      </c>
      <c r="I29" s="15" t="s">
        <v>40</v>
      </c>
      <c r="J29" s="6" t="s">
        <v>40</v>
      </c>
      <c r="K29" s="12" t="s">
        <v>39</v>
      </c>
      <c r="L29" s="6" t="s">
        <v>38</v>
      </c>
      <c r="M29" s="6" t="s">
        <v>37</v>
      </c>
      <c r="N29" s="6" t="s">
        <v>36</v>
      </c>
      <c r="O29" s="1"/>
      <c r="Q29" s="21"/>
      <c r="R29" s="1"/>
      <c r="S29" s="1"/>
      <c r="T29" s="33" t="s">
        <v>36</v>
      </c>
      <c r="U29" s="15" t="s">
        <v>37</v>
      </c>
      <c r="V29" s="15" t="s">
        <v>38</v>
      </c>
      <c r="W29" s="16" t="s">
        <v>39</v>
      </c>
      <c r="X29" s="15" t="s">
        <v>40</v>
      </c>
      <c r="Y29" s="6" t="s">
        <v>40</v>
      </c>
      <c r="Z29" s="12" t="s">
        <v>39</v>
      </c>
      <c r="AA29" s="6" t="s">
        <v>38</v>
      </c>
      <c r="AB29" s="6" t="s">
        <v>37</v>
      </c>
      <c r="AC29" s="6" t="s">
        <v>36</v>
      </c>
      <c r="AD29" s="1"/>
    </row>
    <row r="30" spans="2:30" ht="15" x14ac:dyDescent="0.3">
      <c r="B30" s="21"/>
      <c r="C30" s="1"/>
      <c r="D30" s="1"/>
      <c r="E30" s="85" t="s">
        <v>41</v>
      </c>
      <c r="F30" s="86"/>
      <c r="G30" s="86"/>
      <c r="H30" s="86"/>
      <c r="I30" s="87"/>
      <c r="J30" s="100" t="s">
        <v>41</v>
      </c>
      <c r="K30" s="101"/>
      <c r="L30" s="101"/>
      <c r="M30" s="101"/>
      <c r="N30" s="102"/>
      <c r="O30" s="1"/>
      <c r="Q30" s="21"/>
      <c r="R30" s="1"/>
      <c r="S30" s="1"/>
      <c r="T30" s="85" t="s">
        <v>41</v>
      </c>
      <c r="U30" s="86"/>
      <c r="V30" s="86"/>
      <c r="W30" s="86"/>
      <c r="X30" s="87"/>
      <c r="Y30" s="100" t="s">
        <v>41</v>
      </c>
      <c r="Z30" s="101"/>
      <c r="AA30" s="101"/>
      <c r="AB30" s="101"/>
      <c r="AC30" s="102"/>
      <c r="AD30" s="1"/>
    </row>
    <row r="31" spans="2:30" ht="22.5" x14ac:dyDescent="0.45">
      <c r="B31" s="21"/>
      <c r="C31" s="1"/>
      <c r="D31" s="1"/>
      <c r="E31" s="70" t="s">
        <v>42</v>
      </c>
      <c r="F31" s="71"/>
      <c r="G31" s="71"/>
      <c r="H31" s="71"/>
      <c r="I31" s="72"/>
      <c r="J31" s="73" t="s">
        <v>43</v>
      </c>
      <c r="K31" s="74"/>
      <c r="L31" s="74"/>
      <c r="M31" s="74"/>
      <c r="N31" s="75"/>
      <c r="O31" s="1"/>
      <c r="Q31" s="21"/>
      <c r="R31" s="1"/>
      <c r="S31" s="1"/>
      <c r="T31" s="70" t="s">
        <v>42</v>
      </c>
      <c r="U31" s="71"/>
      <c r="V31" s="71"/>
      <c r="W31" s="71"/>
      <c r="X31" s="72"/>
      <c r="Y31" s="73" t="s">
        <v>43</v>
      </c>
      <c r="Z31" s="74"/>
      <c r="AA31" s="74"/>
      <c r="AB31" s="74"/>
      <c r="AC31" s="75"/>
      <c r="AD31" s="1"/>
    </row>
    <row r="32" spans="2:30" ht="15" x14ac:dyDescent="0.3">
      <c r="B32" s="26"/>
      <c r="C32" s="7"/>
      <c r="D32" s="7"/>
      <c r="E32" s="31"/>
      <c r="F32" s="7"/>
      <c r="G32" s="7"/>
      <c r="H32" s="10"/>
      <c r="I32" s="7"/>
      <c r="J32" s="7"/>
      <c r="K32" s="7"/>
      <c r="L32" s="7"/>
      <c r="M32" s="7"/>
      <c r="N32" s="7"/>
      <c r="O32" s="7"/>
      <c r="Q32" s="26"/>
      <c r="R32" s="7"/>
      <c r="S32" s="7"/>
      <c r="T32" s="31"/>
      <c r="U32" s="7"/>
      <c r="V32" s="7"/>
      <c r="W32" s="10"/>
      <c r="X32" s="7"/>
      <c r="Y32" s="7"/>
      <c r="Z32" s="7"/>
      <c r="AA32" s="7"/>
      <c r="AB32" s="7"/>
      <c r="AC32" s="7"/>
      <c r="AD32" s="7"/>
    </row>
    <row r="36" spans="2:15" ht="15" x14ac:dyDescent="0.3">
      <c r="B36" s="68" t="s">
        <v>44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9"/>
    </row>
    <row r="37" spans="2:15" ht="15" x14ac:dyDescent="0.3">
      <c r="B37" s="85" t="s">
        <v>45</v>
      </c>
      <c r="C37" s="86"/>
      <c r="D37" s="86"/>
      <c r="E37" s="86"/>
      <c r="F37" s="86"/>
      <c r="G37" s="87"/>
      <c r="H37" s="65" t="s">
        <v>46</v>
      </c>
      <c r="I37" s="66"/>
      <c r="J37" s="66"/>
      <c r="K37" s="67"/>
      <c r="L37" s="65" t="s">
        <v>47</v>
      </c>
      <c r="M37" s="66"/>
      <c r="N37" s="66"/>
      <c r="O37" s="67"/>
    </row>
    <row r="38" spans="2:15" ht="15" x14ac:dyDescent="0.3">
      <c r="B38" s="50" t="s">
        <v>48</v>
      </c>
      <c r="C38" s="1"/>
      <c r="D38" s="1"/>
      <c r="E38" s="1"/>
      <c r="F38" s="1"/>
      <c r="G38" s="22"/>
      <c r="H38" s="50" t="s">
        <v>49</v>
      </c>
      <c r="I38" s="29"/>
      <c r="J38" s="1"/>
      <c r="K38" s="22"/>
      <c r="L38" s="50" t="s">
        <v>50</v>
      </c>
      <c r="M38" s="1"/>
      <c r="N38" s="1"/>
      <c r="O38" s="22"/>
    </row>
    <row r="39" spans="2:15" ht="15" x14ac:dyDescent="0.3">
      <c r="B39" s="50" t="s">
        <v>51</v>
      </c>
      <c r="C39" s="1"/>
      <c r="D39" s="1"/>
      <c r="E39" s="1"/>
      <c r="F39" s="1"/>
      <c r="G39" s="22"/>
      <c r="H39" s="50" t="s">
        <v>52</v>
      </c>
      <c r="I39" s="29"/>
      <c r="J39" s="1"/>
      <c r="K39" s="22"/>
      <c r="L39" s="50" t="s">
        <v>53</v>
      </c>
      <c r="M39" s="1"/>
      <c r="N39" s="1"/>
      <c r="O39" s="22"/>
    </row>
    <row r="40" spans="2:15" ht="15" x14ac:dyDescent="0.3">
      <c r="B40" s="51" t="s">
        <v>54</v>
      </c>
      <c r="C40" s="7"/>
      <c r="D40" s="7"/>
      <c r="E40" s="7"/>
      <c r="F40" s="7"/>
      <c r="G40" s="27"/>
      <c r="H40" s="50" t="s">
        <v>55</v>
      </c>
      <c r="I40" s="29"/>
      <c r="J40" s="1"/>
      <c r="K40" s="22"/>
      <c r="L40" s="50" t="s">
        <v>56</v>
      </c>
      <c r="M40" s="1"/>
      <c r="N40" s="1"/>
      <c r="O40" s="22"/>
    </row>
    <row r="41" spans="2:15" ht="15" x14ac:dyDescent="0.3">
      <c r="B41" s="103" t="s">
        <v>57</v>
      </c>
      <c r="C41" s="104"/>
      <c r="D41" s="104"/>
      <c r="E41" s="104"/>
      <c r="F41" s="104"/>
      <c r="G41" s="105"/>
      <c r="H41" s="50" t="s">
        <v>58</v>
      </c>
      <c r="I41" s="29"/>
      <c r="J41" s="1"/>
      <c r="K41" s="22"/>
      <c r="L41" s="50" t="s">
        <v>59</v>
      </c>
      <c r="M41" s="1"/>
      <c r="N41" s="1"/>
      <c r="O41" s="22"/>
    </row>
    <row r="42" spans="2:15" ht="15" x14ac:dyDescent="0.3">
      <c r="B42" s="50" t="s">
        <v>60</v>
      </c>
      <c r="C42" s="1"/>
      <c r="D42" s="1"/>
      <c r="E42" s="1"/>
      <c r="F42" s="1"/>
      <c r="G42" s="22"/>
      <c r="H42" s="50" t="s">
        <v>61</v>
      </c>
      <c r="I42" s="29"/>
      <c r="J42" s="1"/>
      <c r="K42" s="22"/>
      <c r="L42" s="50" t="s">
        <v>62</v>
      </c>
      <c r="M42" s="1"/>
      <c r="N42" s="1"/>
      <c r="O42" s="22"/>
    </row>
    <row r="43" spans="2:15" ht="15" x14ac:dyDescent="0.3">
      <c r="B43" s="50" t="s">
        <v>63</v>
      </c>
      <c r="C43" s="1"/>
      <c r="D43" s="1"/>
      <c r="E43" s="1"/>
      <c r="F43" s="1"/>
      <c r="G43" s="22"/>
      <c r="H43" s="50" t="s">
        <v>64</v>
      </c>
      <c r="I43" s="29"/>
      <c r="J43" s="1"/>
      <c r="K43" s="22"/>
      <c r="L43" s="21"/>
      <c r="M43" s="1"/>
      <c r="N43" s="1"/>
      <c r="O43" s="22"/>
    </row>
    <row r="44" spans="2:15" ht="15" x14ac:dyDescent="0.3">
      <c r="B44" s="51" t="s">
        <v>65</v>
      </c>
      <c r="C44" s="7"/>
      <c r="D44" s="7"/>
      <c r="E44" s="7"/>
      <c r="F44" s="7"/>
      <c r="G44" s="27"/>
      <c r="H44" s="51" t="s">
        <v>66</v>
      </c>
      <c r="I44" s="31"/>
      <c r="J44" s="7"/>
      <c r="K44" s="27"/>
      <c r="L44" s="26"/>
      <c r="M44" s="7"/>
      <c r="N44" s="7"/>
      <c r="O44" s="27"/>
    </row>
    <row r="45" spans="2:15" ht="15" x14ac:dyDescent="0.3">
      <c r="B45" s="1"/>
      <c r="C45" s="1"/>
      <c r="D45" s="1"/>
      <c r="E45" s="29"/>
      <c r="F45" s="1"/>
      <c r="G45" s="1"/>
      <c r="H45" s="9"/>
      <c r="I45" s="1"/>
      <c r="J45" s="1"/>
      <c r="K45" s="1"/>
      <c r="L45" s="1"/>
      <c r="M45" s="1"/>
      <c r="N45" s="1"/>
      <c r="O45" s="1"/>
    </row>
    <row r="46" spans="2:15" ht="15" x14ac:dyDescent="0.3">
      <c r="B46" s="1"/>
      <c r="C46" s="1"/>
      <c r="D46" s="1"/>
      <c r="E46" s="29"/>
      <c r="F46" s="1"/>
      <c r="G46" s="1"/>
      <c r="H46" s="9"/>
      <c r="I46" s="1"/>
      <c r="J46" s="1"/>
      <c r="K46" s="1"/>
      <c r="L46" s="1"/>
      <c r="M46" s="1"/>
      <c r="N46" s="1"/>
      <c r="O46" s="1"/>
    </row>
    <row r="47" spans="2:15" ht="15" x14ac:dyDescent="0.3">
      <c r="B47" s="68" t="s">
        <v>67</v>
      </c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9"/>
    </row>
    <row r="48" spans="2:15" ht="16.5" x14ac:dyDescent="0.2">
      <c r="B48" s="91" t="s">
        <v>16</v>
      </c>
      <c r="C48" s="92"/>
      <c r="D48" s="92"/>
      <c r="E48" s="92"/>
      <c r="F48" s="92"/>
      <c r="G48" s="93"/>
      <c r="H48" s="94" t="s">
        <v>68</v>
      </c>
      <c r="I48" s="95"/>
      <c r="J48" s="95"/>
      <c r="K48" s="95"/>
      <c r="L48" s="95"/>
      <c r="M48" s="95"/>
      <c r="N48" s="95"/>
      <c r="O48" s="96"/>
    </row>
    <row r="49" spans="2:15" ht="15" x14ac:dyDescent="0.3">
      <c r="B49" s="51" t="s">
        <v>69</v>
      </c>
      <c r="C49" s="7"/>
      <c r="D49" s="7"/>
      <c r="E49" s="7"/>
      <c r="F49" s="7"/>
      <c r="G49" s="27"/>
      <c r="H49" s="50" t="s">
        <v>70</v>
      </c>
      <c r="I49" s="1"/>
      <c r="J49" s="1"/>
      <c r="K49" s="29"/>
      <c r="L49" s="1"/>
      <c r="M49" s="1"/>
      <c r="N49" s="9"/>
      <c r="O49" s="22"/>
    </row>
    <row r="50" spans="2:15" ht="16.5" x14ac:dyDescent="0.2">
      <c r="B50" s="88" t="s">
        <v>21</v>
      </c>
      <c r="C50" s="89"/>
      <c r="D50" s="89"/>
      <c r="E50" s="89"/>
      <c r="F50" s="89"/>
      <c r="G50" s="90"/>
      <c r="H50" s="97" t="s">
        <v>22</v>
      </c>
      <c r="I50" s="98"/>
      <c r="J50" s="98"/>
      <c r="K50" s="98"/>
      <c r="L50" s="98"/>
      <c r="M50" s="98"/>
      <c r="N50" s="98"/>
      <c r="O50" s="99"/>
    </row>
    <row r="51" spans="2:15" ht="15" x14ac:dyDescent="0.3">
      <c r="B51" s="51" t="s">
        <v>71</v>
      </c>
      <c r="C51" s="7"/>
      <c r="D51" s="7"/>
      <c r="E51" s="7"/>
      <c r="F51" s="7"/>
      <c r="G51" s="27"/>
      <c r="H51" s="51" t="s">
        <v>72</v>
      </c>
      <c r="I51" s="7"/>
      <c r="J51" s="7"/>
      <c r="K51" s="31"/>
      <c r="L51" s="7"/>
      <c r="M51" s="7"/>
      <c r="N51" s="10"/>
      <c r="O51" s="27"/>
    </row>
    <row r="52" spans="2:15" ht="15" x14ac:dyDescent="0.3">
      <c r="B52" s="1"/>
      <c r="C52" s="1"/>
      <c r="D52" s="1"/>
      <c r="E52" s="29"/>
      <c r="F52" s="1"/>
      <c r="G52" s="1"/>
      <c r="H52" s="9"/>
      <c r="I52" s="1"/>
      <c r="J52" s="1"/>
      <c r="K52" s="1"/>
      <c r="L52" s="1"/>
      <c r="M52" s="1"/>
      <c r="N52" s="1"/>
      <c r="O52" s="1"/>
    </row>
    <row r="53" spans="2:15" ht="15" x14ac:dyDescent="0.3">
      <c r="B53" s="1"/>
      <c r="C53" s="1"/>
      <c r="D53" s="1"/>
      <c r="E53" s="29"/>
      <c r="F53" s="1"/>
      <c r="G53" s="1"/>
      <c r="H53" s="9"/>
      <c r="I53" s="1"/>
      <c r="J53" s="1"/>
      <c r="K53" s="1"/>
      <c r="L53" s="1"/>
      <c r="M53" s="1"/>
      <c r="N53" s="1"/>
      <c r="O53" s="1"/>
    </row>
    <row r="54" spans="2:15" ht="15" x14ac:dyDescent="0.3">
      <c r="B54" s="82" t="s">
        <v>73</v>
      </c>
      <c r="C54" s="83"/>
      <c r="D54" s="83"/>
      <c r="E54" s="83"/>
      <c r="F54" s="83"/>
      <c r="G54" s="84"/>
      <c r="H54" s="9"/>
      <c r="I54" s="1"/>
      <c r="J54" s="1"/>
      <c r="K54" s="1"/>
      <c r="L54" s="1"/>
      <c r="M54" s="1"/>
      <c r="N54" s="1"/>
      <c r="O54" s="1"/>
    </row>
    <row r="55" spans="2:15" ht="15" x14ac:dyDescent="0.3">
      <c r="B55" s="50" t="s">
        <v>74</v>
      </c>
      <c r="C55" s="1"/>
      <c r="D55" s="1"/>
      <c r="E55" s="29"/>
      <c r="F55" s="1"/>
      <c r="G55" s="22"/>
      <c r="H55" s="9"/>
      <c r="I55" s="1"/>
      <c r="J55" s="1"/>
      <c r="K55" s="1"/>
      <c r="L55" s="1"/>
      <c r="M55" s="1"/>
      <c r="N55" s="1"/>
      <c r="O55" s="1"/>
    </row>
    <row r="56" spans="2:15" ht="15" x14ac:dyDescent="0.3">
      <c r="B56" s="50" t="s">
        <v>75</v>
      </c>
      <c r="C56" s="1"/>
      <c r="D56" s="1"/>
      <c r="E56" s="29"/>
      <c r="F56" s="1"/>
      <c r="G56" s="22"/>
      <c r="H56" s="9"/>
      <c r="I56" s="1"/>
      <c r="J56" s="1"/>
      <c r="K56" s="1"/>
      <c r="L56" s="1"/>
      <c r="M56" s="1"/>
      <c r="N56" s="1"/>
      <c r="O56" s="1"/>
    </row>
    <row r="57" spans="2:15" ht="15" x14ac:dyDescent="0.3">
      <c r="B57" s="50" t="s">
        <v>76</v>
      </c>
      <c r="C57" s="1"/>
      <c r="D57" s="1"/>
      <c r="E57" s="29"/>
      <c r="F57" s="1"/>
      <c r="G57" s="22"/>
      <c r="H57" s="9"/>
      <c r="I57" s="1"/>
      <c r="J57" s="1"/>
      <c r="K57" s="1"/>
      <c r="L57" s="1"/>
      <c r="M57" s="1"/>
      <c r="N57" s="1"/>
      <c r="O57" s="1"/>
    </row>
    <row r="58" spans="2:15" ht="15" x14ac:dyDescent="0.3">
      <c r="B58" s="50" t="s">
        <v>77</v>
      </c>
      <c r="C58" s="1"/>
      <c r="D58" s="1"/>
      <c r="E58" s="29"/>
      <c r="F58" s="1"/>
      <c r="G58" s="22"/>
      <c r="H58" s="9"/>
      <c r="I58" s="1"/>
      <c r="J58" s="1"/>
      <c r="K58" s="1"/>
      <c r="L58" s="1"/>
      <c r="M58" s="1"/>
      <c r="N58" s="1"/>
      <c r="O58" s="1"/>
    </row>
    <row r="59" spans="2:15" ht="15" x14ac:dyDescent="0.3">
      <c r="B59" s="50" t="s">
        <v>78</v>
      </c>
      <c r="C59" s="1"/>
      <c r="D59" s="1"/>
      <c r="E59" s="29"/>
      <c r="F59" s="1"/>
      <c r="G59" s="22"/>
      <c r="H59" s="9"/>
      <c r="I59" s="1"/>
      <c r="J59" s="1"/>
      <c r="K59" s="1"/>
      <c r="L59" s="1"/>
      <c r="M59" s="1"/>
      <c r="N59" s="1"/>
      <c r="O59" s="1"/>
    </row>
    <row r="60" spans="2:15" ht="15" x14ac:dyDescent="0.3">
      <c r="B60" s="50" t="s">
        <v>79</v>
      </c>
      <c r="C60" s="1"/>
      <c r="D60" s="1"/>
      <c r="E60" s="29"/>
      <c r="F60" s="1"/>
      <c r="G60" s="22"/>
      <c r="H60" s="9"/>
      <c r="I60" s="1"/>
      <c r="J60" s="1"/>
      <c r="K60" s="1"/>
      <c r="L60" s="1"/>
      <c r="M60" s="1"/>
      <c r="N60" s="1"/>
      <c r="O60" s="1"/>
    </row>
    <row r="61" spans="2:15" ht="15" x14ac:dyDescent="0.3">
      <c r="B61" s="51" t="s">
        <v>80</v>
      </c>
      <c r="C61" s="7"/>
      <c r="D61" s="7"/>
      <c r="E61" s="31"/>
      <c r="F61" s="7"/>
      <c r="G61" s="27"/>
      <c r="H61" s="9"/>
      <c r="I61" s="1"/>
      <c r="J61" s="1"/>
      <c r="K61" s="1"/>
      <c r="L61" s="1"/>
      <c r="M61" s="1"/>
      <c r="N61" s="1"/>
      <c r="O61" s="1"/>
    </row>
    <row r="62" spans="2:15" ht="15" x14ac:dyDescent="0.3">
      <c r="B62" s="1"/>
      <c r="C62" s="1"/>
      <c r="D62" s="1"/>
      <c r="E62" s="29"/>
      <c r="F62" s="1"/>
      <c r="G62" s="1"/>
      <c r="H62" s="9"/>
      <c r="I62" s="1"/>
      <c r="J62" s="1"/>
      <c r="K62" s="1"/>
      <c r="L62" s="1"/>
      <c r="M62" s="1"/>
      <c r="N62" s="1"/>
      <c r="O62" s="1"/>
    </row>
    <row r="63" spans="2:15" ht="15" x14ac:dyDescent="0.3">
      <c r="B63" s="49" t="s">
        <v>73</v>
      </c>
      <c r="C63" s="1"/>
      <c r="D63" s="1"/>
      <c r="E63" s="29"/>
      <c r="F63" s="1"/>
      <c r="G63" s="1"/>
      <c r="H63" s="9"/>
      <c r="I63" s="1"/>
      <c r="J63" s="1"/>
      <c r="K63" s="1"/>
      <c r="L63" s="1"/>
      <c r="M63" s="1"/>
      <c r="N63" s="1"/>
      <c r="O63" s="1"/>
    </row>
    <row r="64" spans="2:15" ht="15" x14ac:dyDescent="0.3">
      <c r="B64" s="49" t="s">
        <v>81</v>
      </c>
      <c r="C64" s="1"/>
      <c r="D64" s="49"/>
      <c r="E64" s="29"/>
      <c r="F64" s="1"/>
      <c r="G64" s="1"/>
      <c r="H64" s="9"/>
      <c r="I64" s="1"/>
      <c r="J64" s="1"/>
      <c r="K64" s="1"/>
      <c r="L64" s="1"/>
      <c r="M64" s="1"/>
      <c r="N64" s="1"/>
      <c r="O64" s="1"/>
    </row>
    <row r="65" spans="2:15" ht="15" x14ac:dyDescent="0.3">
      <c r="B65" s="49" t="s">
        <v>82</v>
      </c>
      <c r="C65" s="1"/>
      <c r="D65" s="1"/>
      <c r="E65" s="29"/>
      <c r="F65" s="1"/>
      <c r="G65" s="1"/>
      <c r="H65" s="9"/>
      <c r="I65" s="1"/>
      <c r="J65" s="1"/>
      <c r="K65" s="1"/>
      <c r="L65" s="1"/>
      <c r="M65" s="1"/>
      <c r="N65" s="1"/>
      <c r="O65" s="1"/>
    </row>
    <row r="66" spans="2:15" ht="15" x14ac:dyDescent="0.3">
      <c r="B66" s="49" t="s">
        <v>83</v>
      </c>
      <c r="C66" s="1"/>
      <c r="D66" s="1"/>
      <c r="E66" s="29"/>
      <c r="F66" s="1"/>
      <c r="G66" s="1"/>
      <c r="H66" s="9"/>
      <c r="I66" s="1"/>
      <c r="J66" s="1"/>
      <c r="K66" s="1"/>
      <c r="L66" s="1"/>
      <c r="M66" s="1"/>
      <c r="N66" s="1"/>
      <c r="O66" s="1"/>
    </row>
    <row r="67" spans="2:15" ht="15" x14ac:dyDescent="0.3">
      <c r="B67" s="49" t="s">
        <v>84</v>
      </c>
      <c r="C67" s="1"/>
      <c r="D67" s="1"/>
      <c r="E67" s="29"/>
      <c r="F67" s="1"/>
      <c r="G67" s="1"/>
      <c r="H67" s="9"/>
      <c r="I67" s="1"/>
      <c r="J67" s="1"/>
      <c r="K67" s="1"/>
      <c r="L67" s="1"/>
      <c r="M67" s="1"/>
      <c r="N67" s="1"/>
      <c r="O67" s="1"/>
    </row>
    <row r="68" spans="2:15" ht="15" x14ac:dyDescent="0.3">
      <c r="B68" s="49" t="s">
        <v>85</v>
      </c>
      <c r="C68" s="1"/>
      <c r="D68" s="1"/>
      <c r="E68" s="29"/>
      <c r="F68" s="1"/>
      <c r="G68" s="1"/>
      <c r="H68" s="9"/>
      <c r="I68" s="1"/>
      <c r="J68" s="1"/>
      <c r="K68" s="1"/>
      <c r="L68" s="1"/>
      <c r="M68" s="1"/>
      <c r="N68" s="1"/>
      <c r="O68" s="1"/>
    </row>
  </sheetData>
  <mergeCells count="69">
    <mergeCell ref="B50:G50"/>
    <mergeCell ref="H50:O50"/>
    <mergeCell ref="B54:G54"/>
    <mergeCell ref="B37:G37"/>
    <mergeCell ref="H37:K37"/>
    <mergeCell ref="L37:O37"/>
    <mergeCell ref="B41:G41"/>
    <mergeCell ref="B47:O47"/>
    <mergeCell ref="B48:G48"/>
    <mergeCell ref="H48:O48"/>
    <mergeCell ref="D4:J4"/>
    <mergeCell ref="D5:J5"/>
    <mergeCell ref="J2:L2"/>
    <mergeCell ref="Y2:AB2"/>
    <mergeCell ref="B36:O36"/>
    <mergeCell ref="U20:X20"/>
    <mergeCell ref="Z20:AB20"/>
    <mergeCell ref="T30:X30"/>
    <mergeCell ref="Y30:AC30"/>
    <mergeCell ref="T31:X31"/>
    <mergeCell ref="Y31:AC31"/>
    <mergeCell ref="S15:V15"/>
    <mergeCell ref="AB15:AD15"/>
    <mergeCell ref="S16:V16"/>
    <mergeCell ref="AB16:AD16"/>
    <mergeCell ref="S17:V17"/>
    <mergeCell ref="AB17:AD17"/>
    <mergeCell ref="AB11:AD11"/>
    <mergeCell ref="S12:V12"/>
    <mergeCell ref="AB12:AD12"/>
    <mergeCell ref="S13:V13"/>
    <mergeCell ref="AB13:AD13"/>
    <mergeCell ref="S14:V14"/>
    <mergeCell ref="AB14:AD14"/>
    <mergeCell ref="E31:I31"/>
    <mergeCell ref="J31:N31"/>
    <mergeCell ref="S7:V7"/>
    <mergeCell ref="S8:V8"/>
    <mergeCell ref="AB8:AD8"/>
    <mergeCell ref="S9:V9"/>
    <mergeCell ref="AB9:AD9"/>
    <mergeCell ref="S10:V10"/>
    <mergeCell ref="AB10:AD10"/>
    <mergeCell ref="S11:V11"/>
    <mergeCell ref="D17:G17"/>
    <mergeCell ref="M17:O17"/>
    <mergeCell ref="F20:I20"/>
    <mergeCell ref="K20:M20"/>
    <mergeCell ref="E30:I30"/>
    <mergeCell ref="J30:N30"/>
    <mergeCell ref="D14:G14"/>
    <mergeCell ref="M14:O14"/>
    <mergeCell ref="D15:G15"/>
    <mergeCell ref="M15:O15"/>
    <mergeCell ref="D16:G16"/>
    <mergeCell ref="M16:O16"/>
    <mergeCell ref="D11:G11"/>
    <mergeCell ref="M11:O11"/>
    <mergeCell ref="D12:G12"/>
    <mergeCell ref="M12:O12"/>
    <mergeCell ref="D13:G13"/>
    <mergeCell ref="M13:O13"/>
    <mergeCell ref="D7:G7"/>
    <mergeCell ref="D8:G8"/>
    <mergeCell ref="M8:O8"/>
    <mergeCell ref="D9:G9"/>
    <mergeCell ref="M9:O9"/>
    <mergeCell ref="D10:G10"/>
    <mergeCell ref="M10:O10"/>
  </mergeCells>
  <conditionalFormatting sqref="K8:K14">
    <cfRule type="cellIs" dxfId="5" priority="4" stopIfTrue="1" operator="lessThanOrEqual">
      <formula>5</formula>
    </cfRule>
    <cfRule type="cellIs" dxfId="4" priority="5" stopIfTrue="1" operator="between">
      <formula>5</formula>
      <formula>12</formula>
    </cfRule>
    <cfRule type="cellIs" dxfId="3" priority="6" stopIfTrue="1" operator="greaterThan">
      <formula>12</formula>
    </cfRule>
  </conditionalFormatting>
  <conditionalFormatting sqref="Z8:Z14">
    <cfRule type="cellIs" dxfId="2" priority="1" stopIfTrue="1" operator="lessThanOrEqual">
      <formula>5</formula>
    </cfRule>
    <cfRule type="cellIs" dxfId="1" priority="2" stopIfTrue="1" operator="between">
      <formula>5</formula>
      <formula>12</formula>
    </cfRule>
    <cfRule type="cellIs" dxfId="0" priority="3" stopIfTrue="1" operator="greaterThan">
      <formula>12</formula>
    </cfRule>
  </conditionalFormatting>
  <dataValidations count="1">
    <dataValidation type="list" showInputMessage="1" showErrorMessage="1" promptTitle="Estratégias" sqref="L8:L17 AA8:AA17" xr:uid="{F8B41600-4144-40BB-9763-1650DCFFFC1D}">
      <formula1>$F$21:$N$21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E9E4A1EA591E4A8D90E509CC286846" ma:contentTypeVersion="4" ma:contentTypeDescription="Crie um novo documento." ma:contentTypeScope="" ma:versionID="fa28ada52e6fcae4951b45a04b3d5735">
  <xsd:schema xmlns:xsd="http://www.w3.org/2001/XMLSchema" xmlns:xs="http://www.w3.org/2001/XMLSchema" xmlns:p="http://schemas.microsoft.com/office/2006/metadata/properties" xmlns:ns2="eba73d8d-8753-4292-97ef-f516420938e6" targetNamespace="http://schemas.microsoft.com/office/2006/metadata/properties" ma:root="true" ma:fieldsID="650427b07d60d273a12d0db4ba0d2150" ns2:_="">
    <xsd:import namespace="eba73d8d-8753-4292-97ef-f51642093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73d8d-8753-4292-97ef-f51642093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D78DC5-3C05-4BC7-A1C3-80C8F0BAA8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48F706-C877-470C-B84B-7E52325DE416}">
  <ds:schemaRefs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70da03dc-4a2c-4d6b-816d-6e9102bdef9a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28B7D38-0063-41B1-87F3-7B9DF1993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</vt:lpstr>
    </vt:vector>
  </TitlesOfParts>
  <Manager/>
  <Company>MANSWARE COMPUTAÇÃO LTDA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G.S. Taliba</dc:creator>
  <cp:keywords/>
  <dc:description/>
  <cp:lastModifiedBy>Fatec</cp:lastModifiedBy>
  <cp:revision/>
  <dcterms:created xsi:type="dcterms:W3CDTF">2003-07-09T19:06:04Z</dcterms:created>
  <dcterms:modified xsi:type="dcterms:W3CDTF">2023-09-27T00:25:51Z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1910091593</vt:i4>
  </property>
  <property fmtid="{D5CDD505-2E9C-101B-9397-08002B2CF9AE}" pid="3" name="_EmailSubject">
    <vt:lpwstr>Planilha de Riscos do Projeto P10-T</vt:lpwstr>
  </property>
  <property fmtid="{D5CDD505-2E9C-101B-9397-08002B2CF9AE}" pid="4" name="_AuthorEmail">
    <vt:lpwstr>marcelojorgelima@anfreixo.com.br</vt:lpwstr>
  </property>
  <property fmtid="{D5CDD505-2E9C-101B-9397-08002B2CF9AE}" pid="5" name="_AuthorEmailDisplayName">
    <vt:lpwstr>Marcelo Jorge Lima</vt:lpwstr>
  </property>
  <property fmtid="{D5CDD505-2E9C-101B-9397-08002B2CF9AE}" pid="6" name="_PreviousAdHocReviewCycleID">
    <vt:i4>-1945666166</vt:i4>
  </property>
  <property fmtid="{D5CDD505-2E9C-101B-9397-08002B2CF9AE}" pid="7" name="_ReviewingToolsShownOnce">
    <vt:lpwstr/>
  </property>
  <property fmtid="{D5CDD505-2E9C-101B-9397-08002B2CF9AE}" pid="8" name="WorkbookGuid">
    <vt:lpwstr>d0f178d1-6a32-45ad-8b3f-f894415605c5</vt:lpwstr>
  </property>
  <property fmtid="{D5CDD505-2E9C-101B-9397-08002B2CF9AE}" pid="9" name="ContentTypeId">
    <vt:lpwstr>0x010100E2E9E4A1EA591E4A8D90E509CC286846</vt:lpwstr>
  </property>
</Properties>
</file>